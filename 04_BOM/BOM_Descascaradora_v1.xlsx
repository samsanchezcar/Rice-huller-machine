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- Lista de Materiales" sheetId="1" r:id="rId4"/>
  </sheets>
  <definedNames/>
  <calcPr/>
  <extLst>
    <ext uri="GoogleSheetsCustomDataVersion2">
      <go:sheetsCustomData xmlns:go="http://customooxmlschemas.google.com/" r:id="rId5" roundtripDataChecksum="GGPTcAubge3Fs72/d4J3Yrva6aV5+N2SNzrdtb/HT1o="/>
    </ext>
  </extLst>
</workbook>
</file>

<file path=xl/sharedStrings.xml><?xml version="1.0" encoding="utf-8"?>
<sst xmlns="http://schemas.openxmlformats.org/spreadsheetml/2006/main" count="253" uniqueCount="161">
  <si>
    <t>LISTA DE MATERIALES (BOM) — Descascaradora de Arroz Modular Semiautomática</t>
  </si>
  <si>
    <t>Proyecto Aplicado de Ingeniería 2017275 — Universidad Nacional de Colombia — 1er Semestre 2026 | Grupo B</t>
  </si>
  <si>
    <t>#</t>
  </si>
  <si>
    <t>Ítem / Componente</t>
  </si>
  <si>
    <t>Módulo</t>
  </si>
  <si>
    <t>Descripción Técnica</t>
  </si>
  <si>
    <t>Cantidad</t>
  </si>
  <si>
    <t>Und.</t>
  </si>
  <si>
    <t>Precio Unit. (COP)</t>
  </si>
  <si>
    <t>Precio Total (COP)</t>
  </si>
  <si>
    <t>Estado</t>
  </si>
  <si>
    <t>Proveedor / Link</t>
  </si>
  <si>
    <t>Observaciones</t>
  </si>
  <si>
    <t>Motor gasolina 6.5HP, 196cc, 3600RPM</t>
  </si>
  <si>
    <t>Mod.1 — Potencia</t>
  </si>
  <si>
    <t>Motor 4T gasolina, torque 12Nm, arranque retráctil, eje 3/4" cuñero. Ref SKU 625279.</t>
  </si>
  <si>
    <t>und</t>
  </si>
  <si>
    <t>ADQUIRIDO</t>
  </si>
  <si>
    <t>Homecenter (homecenter.com.co)</t>
  </si>
  <si>
    <t>Ya adquirido por el equipo</t>
  </si>
  <si>
    <t>Embrague electromagnético DLD6-05 tipo A</t>
  </si>
  <si>
    <t>DC24V, monodisco seco, par de acoplamiento 6Nm, resp. &lt;0.3s. Montaje en eje 19mm.</t>
  </si>
  <si>
    <t>COTIZADO</t>
  </si>
  <si>
    <t>MercadoLibre Colombia (mercadolibre.com.co)</t>
  </si>
  <si>
    <t>Par de 6Nm suficiente para transmisión a rodillos</t>
  </si>
  <si>
    <t>Celda de carga tipo S — 10 kg</t>
  </si>
  <si>
    <t>Mod.3 — Control</t>
  </si>
  <si>
    <t>Aleación de aluminio, IP67, salida 2mV/V, conector 4 hilos. Para sistema de pesaje.</t>
  </si>
  <si>
    <t>AliExpress (item 1005008612967612)</t>
  </si>
  <si>
    <t>4 celdas en puente Wheatstone — carga máx. 40kg</t>
  </si>
  <si>
    <t>Módulo HX711 (ADC 24 bits)</t>
  </si>
  <si>
    <t>Conversor A/D de 24 bits para celdas de carga. Ganancia 128/64/32x. Interfaz SPI/I2C.</t>
  </si>
  <si>
    <t>Por adquirir</t>
  </si>
  <si>
    <t>MercadoLibre Colombia / Naylampmechatronics</t>
  </si>
  <si>
    <t>Compatible con PIC18F4550 por SPI</t>
  </si>
  <si>
    <t>PIC18F4550 (Microchip)</t>
  </si>
  <si>
    <t>Microcontrolador 8 bits, 32KB Flash, USB nativo, 10-bit ADC, 48MHz. DIP-40.</t>
  </si>
  <si>
    <t>AliExpress (item 1005008943635084)</t>
  </si>
  <si>
    <t>Justificado por USB, disponibilidad y documentación</t>
  </si>
  <si>
    <t>Pantalla Nokia 5110 LCD (PCD8544)</t>
  </si>
  <si>
    <t>LCD 84×48 píxeles, SPI, retroiluminación, 3.3V. Legible en exterior.</t>
  </si>
  <si>
    <t>MercadoLibre Colombia / AliExpress</t>
  </si>
  <si>
    <t>Interfaz de usuario del sistema de control</t>
  </si>
  <si>
    <t>Batería litio 24V / 5Ah (con BMS)</t>
  </si>
  <si>
    <t>LiFePO4 o Li-Ion. BMS integrado. Corriente máx. descarga 10A. Autonomía ≥4h sistema electrónico.</t>
  </si>
  <si>
    <t>AliExpress (item 1005009963240184)</t>
  </si>
  <si>
    <t>Carga por alternador de moto vía boost converter</t>
  </si>
  <si>
    <t>Alternador de motocicleta 100-200W</t>
  </si>
  <si>
    <t>Generador AC trifásico o bifásico. Rectificador integrado o externo. Salida 13.8–14.5V DC.</t>
  </si>
  <si>
    <t>Mercado de repuestos motos Bogotá / MercadoLibre</t>
  </si>
  <si>
    <t>Se adapta al eje secundario mediante brida</t>
  </si>
  <si>
    <t>Módulo rectificador + regulador 14V</t>
  </si>
  <si>
    <t>Puente de diodos 15A + regulador de voltaje de moto. Para salida del alternador.</t>
  </si>
  <si>
    <t>MercadoLibre Colombia</t>
  </si>
  <si>
    <t>Protección contra sobretensión por alternador</t>
  </si>
  <si>
    <t>Convertidor DC-DC Boost 14V→24V, 5A</t>
  </si>
  <si>
    <t>Step-up converter para carga de batería 24V desde alternador de 14V. Eficiencia ≥85%.</t>
  </si>
  <si>
    <t>AliExpress / MercadoLibre</t>
  </si>
  <si>
    <t>Necesario para cargar batería de 24V desde alternador de 14V</t>
  </si>
  <si>
    <t>Convertidor DC-DC Buck 24V→5V, 3A</t>
  </si>
  <si>
    <t>LM2596 o MP1584. Alimenta PIC, pantalla, sensores. Estabilizado.</t>
  </si>
  <si>
    <t>Uno para MCU y sensores, otro de repuesto</t>
  </si>
  <si>
    <t>Relé de estado sólido 24VDC/10A</t>
  </si>
  <si>
    <t>SSR DC-DC para control del embrague electromagnético. Aislamiento óptico. Sin rebote.</t>
  </si>
  <si>
    <t>Diodo flyback integrado para protección del embrague</t>
  </si>
  <si>
    <t>Acople flexible (jaw coupling) Ø19mm</t>
  </si>
  <si>
    <t>Tipo araña, acero + elemento PU. Une eje motor al eje secundario. Absorbe desalineación.</t>
  </si>
  <si>
    <t>MercadoLibre Colombia / ferreterías industriales</t>
  </si>
  <si>
    <t>Reduce vibración transmitida al alternador</t>
  </si>
  <si>
    <t>Par de rodillos de goma/PU</t>
  </si>
  <si>
    <t>Mod.2 — Descascarillado</t>
  </si>
  <si>
    <t>Ø80mm externo, núcleo acero, recubrimiento PU 20mm, dureza 40–60 Shore A, L=200mm activa.</t>
  </si>
  <si>
    <t>par</t>
  </si>
  <si>
    <t>Por adquirir (Solagro)</t>
  </si>
  <si>
    <t>Solagro Colombia (solagro.co)</t>
  </si>
  <si>
    <t>Principal elemento de trabajo. Cotizar directamente.</t>
  </si>
  <si>
    <t>Pulidora horizontal (Horizontal Abrasive Whitener)</t>
  </si>
  <si>
    <t>Cilindro abrasivo horizontal, malla perforada, contrapeso ajustable. L aprox. 300mm.</t>
  </si>
  <si>
    <t>Módulo opcional de pulido. Solagro provee repuestos.</t>
  </si>
  <si>
    <t>Ventilador centrífugo</t>
  </si>
  <si>
    <t>Caudal ≥0.15 m³/s, baja presión. Accionado por eje de transmisión. Separación cascarilla.</t>
  </si>
  <si>
    <t>Talleres locales / importación</t>
  </si>
  <si>
    <t>Caudal de aire: 2.5–4.5 m/s en zona de separación</t>
  </si>
  <si>
    <t>Poleas en V (juego)</t>
  </si>
  <si>
    <t>Mod.1/2 — Potencia/Descasc.</t>
  </si>
  <si>
    <t>Poleas para correas tipo A y B. Diferentes diámetros para relaciones de transmisión requeridas. Fundición o aluminio.</t>
  </si>
  <si>
    <t>juego</t>
  </si>
  <si>
    <t>Ferreterías industriales Bogotá / importación</t>
  </si>
  <si>
    <t>Diámetros según cálculo final de transmisiones</t>
  </si>
  <si>
    <t>Correas en V (tipo A y B, juego)</t>
  </si>
  <si>
    <t>Correas tipo A y B para transmisión de potencia. Gates o equivalente.</t>
  </si>
  <si>
    <t>Ferreterías industriales Bogotá</t>
  </si>
  <si>
    <t>Verificar tensión con regla de deflexión</t>
  </si>
  <si>
    <t>Rodamientos (juego)</t>
  </si>
  <si>
    <t>SKF o FAG. Para ejes de rodillos, ventilador y Sin Fín. Sellados 2RS.</t>
  </si>
  <si>
    <t>Distribuidores SKF Bogotá / MercadoLibre</t>
  </si>
  <si>
    <t>Rodamientos 6004-2RS o equivalente para Ø20mm de eje</t>
  </si>
  <si>
    <t>Ejes de acero (material)</t>
  </si>
  <si>
    <t>Acero de transmisión 1020 o 1045. Ø20–25mm, L=300–500mm c/u. Mecanizado en taller.</t>
  </si>
  <si>
    <t>Acerías Bogotá / Ferrasa</t>
  </si>
  <si>
    <t>2 ejes para rodillos + 1 para Sin Fín + 1 eje secundario</t>
  </si>
  <si>
    <t>Perfiles acero cuadrado 40×40×3mm</t>
  </si>
  <si>
    <t>Mod.4 — Chasis</t>
  </si>
  <si>
    <t>ASTM A36. Para estructura portante y base motor. Total aprox. 10 ml.</t>
  </si>
  <si>
    <t>ml</t>
  </si>
  <si>
    <t>Corte y soldadura en taller. Pintura anticorrosión.</t>
  </si>
  <si>
    <t>Ángulos acero 50×50×5mm</t>
  </si>
  <si>
    <t>ASTM A36. Para refuerzos y soportes. Total aprox. 4 ml.</t>
  </si>
  <si>
    <t>Complemento para estructura chasis</t>
  </si>
  <si>
    <t>Lámina acero inox AISI 304 (1.5mm)</t>
  </si>
  <si>
    <t>Para canales, tolva interior y zonas de contacto con arroz. 1 lámina 1m×2m.</t>
  </si>
  <si>
    <t>lam</t>
  </si>
  <si>
    <t>Aceros inoxidables Bogotá</t>
  </si>
  <si>
    <t>Cumplimiento inocuidad alimentaria (Dec.1500/2007)</t>
  </si>
  <si>
    <t>Lámina galvanizada 1mm (guardas)</t>
  </si>
  <si>
    <t>Para guardas de seguridad sobre correas y poleas. 1 lámina 1m×2m.</t>
  </si>
  <si>
    <t>Cumplimiento ISO 4254-1 guardas de seguridad</t>
  </si>
  <si>
    <t>Servomotor MG996R (válvula tolva)</t>
  </si>
  <si>
    <t>Par 9.4–11 kg·cm, control PWM, 5V. Para actuación de compuerta de tolva.</t>
  </si>
  <si>
    <t>Alternativa: solenoide lineal 24V</t>
  </si>
  <si>
    <t>Ruedas (2 fijas + 1 giratoria c/freno)</t>
  </si>
  <si>
    <t>Ø200mm, neumático baja presión para terreno irregular. Rodamiento sellado.</t>
  </si>
  <si>
    <t>Ferreterías / casas rodachinas Bogotá</t>
  </si>
  <si>
    <t>Sistema de movilidad del equipo en campo</t>
  </si>
  <si>
    <t>Botón E-Stop hongo Ø40mm (NC)</t>
  </si>
  <si>
    <t>Paro de emergencia normalmente cerrado. Cuerpo plástico, contacto 10A.</t>
  </si>
  <si>
    <t>MercadoLibre Colombia / Siesa Industrial</t>
  </si>
  <si>
    <t>Cumplimiento seguridad ISO 11684</t>
  </si>
  <si>
    <t>Botones START / STOP industriales</t>
  </si>
  <si>
    <t>Verde (START) y rojo (STOP). Ø22mm, 5A. Panel de control.</t>
  </si>
  <si>
    <t>Botones de inicio y paro del ciclo de descascarillado</t>
  </si>
  <si>
    <t>Pilotos LED 24V (verde, amarillo, rojo)</t>
  </si>
  <si>
    <t>Indicadores de estado. Cuerpo metálico Ø22mm, 24VDC.</t>
  </si>
  <si>
    <t>Estado del sistema visible para el operario</t>
  </si>
  <si>
    <t>Buzzer 5V</t>
  </si>
  <si>
    <t>Alerta sonora 80dB. Para señal de peso alcanzado y errores.</t>
  </si>
  <si>
    <t>Integrado en panel de control</t>
  </si>
  <si>
    <t>Tornillería y elementos de fijación</t>
  </si>
  <si>
    <t>General</t>
  </si>
  <si>
    <t>Pernos M8, M10, M6, tuercas, arandelas, seguros de eje, cuñas. Acero inoxidable.</t>
  </si>
  <si>
    <t>lote</t>
  </si>
  <si>
    <t>Incluye hardware de ensamble rápido entre módulos</t>
  </si>
  <si>
    <t>Cable eléctrico (varios calibres)</t>
  </si>
  <si>
    <t>Mod.1/3 — Potencia/Control</t>
  </si>
  <si>
    <t>AWG 14 (potencia), AWG 22 (señales). Varios colores, 10m c/u.</t>
  </si>
  <si>
    <t>Ferreterías eléctricas Bogotá</t>
  </si>
  <si>
    <t>Cableado interno y entre módulos</t>
  </si>
  <si>
    <t>Manufactura externa (taller)</t>
  </si>
  <si>
    <t>Mecanizado de ejes, corte de perfiles, soldadura de estructura. Estimado.</t>
  </si>
  <si>
    <t>serv</t>
  </si>
  <si>
    <t>Estimado</t>
  </si>
  <si>
    <t>Taller externo Bogotá / Instalaciones UNAL</t>
  </si>
  <si>
    <t>Incluye mecanizado de ejes y soldadura de chasis</t>
  </si>
  <si>
    <t>Contingencia (10%)</t>
  </si>
  <si>
    <t>Reserva para imprevistos, envíos, ajustes de diseño.</t>
  </si>
  <si>
    <t>glob</t>
  </si>
  <si>
    <t>Reserva</t>
  </si>
  <si>
    <t>N/A</t>
  </si>
  <si>
    <t>10% sobre subtotal de ítems directos</t>
  </si>
  <si>
    <t>TOTAL ESTIMADO (COP)</t>
  </si>
  <si>
    <t>Presupuesto disponible: $7.000.000 COP | Motor ya adquirido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</si>
</sst>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003366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F6B32"/>
      <name val="Arial"/>
    </font>
    <font>
      <b/>
      <sz val="10.0"/>
      <color rgb="FFE07B29"/>
      <name val="Arial"/>
    </font>
    <font>
      <b/>
      <sz val="10.0"/>
      <color rgb="FF5B3A8C"/>
      <name val="Arial"/>
    </font>
    <font>
      <b/>
      <sz val="10.0"/>
      <color rgb="FF595959"/>
      <name val="Arial"/>
    </font>
    <font>
      <b/>
      <sz val="12.0"/>
      <color rgb="FFFFFFFF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5" fillId="3" fontId="7" numFmtId="3" xfId="0" applyAlignment="1" applyBorder="1" applyFont="1" applyNumberFormat="1">
      <alignment horizontal="right" shrinkToFit="0" vertical="center" wrapText="0"/>
    </xf>
    <xf borderId="5" fillId="3" fontId="8" numFmtId="3" xfId="0" applyAlignment="1" applyBorder="1" applyFont="1" applyNumberFormat="1">
      <alignment horizontal="right" shrinkToFit="0" vertical="center" wrapText="0"/>
    </xf>
    <xf borderId="5" fillId="3" fontId="9" numFmtId="0" xfId="0" applyAlignment="1" applyBorder="1" applyFont="1">
      <alignment horizontal="lef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5" fillId="4" fontId="7" numFmtId="3" xfId="0" applyAlignment="1" applyBorder="1" applyFont="1" applyNumberFormat="1">
      <alignment horizontal="right" shrinkToFit="0" vertical="center" wrapText="0"/>
    </xf>
    <xf borderId="5" fillId="4" fontId="8" numFmtId="3" xfId="0" applyAlignment="1" applyBorder="1" applyFont="1" applyNumberFormat="1">
      <alignment horizontal="right" shrinkToFit="0" vertical="center" wrapText="0"/>
    </xf>
    <xf borderId="5" fillId="4" fontId="10" numFmtId="0" xfId="0" applyAlignment="1" applyBorder="1" applyFont="1">
      <alignment horizontal="left" shrinkToFit="0" vertical="center" wrapText="1"/>
    </xf>
    <xf borderId="5" fillId="3" fontId="10" numFmtId="0" xfId="0" applyAlignment="1" applyBorder="1" applyFont="1">
      <alignment horizontal="left" shrinkToFit="0" vertical="center" wrapText="1"/>
    </xf>
    <xf borderId="5" fillId="4" fontId="7" numFmtId="3" xfId="0" applyAlignment="1" applyBorder="1" applyFont="1" applyNumberFormat="1">
      <alignment horizontal="right" readingOrder="0" shrinkToFit="0" vertical="center" wrapText="0"/>
    </xf>
    <xf borderId="5" fillId="4" fontId="11" numFmtId="0" xfId="0" applyAlignment="1" applyBorder="1" applyFont="1">
      <alignment horizontal="left" shrinkToFit="0" vertical="center" wrapText="1"/>
    </xf>
    <xf borderId="5" fillId="3" fontId="7" numFmtId="3" xfId="0" applyAlignment="1" applyBorder="1" applyFont="1" applyNumberFormat="1">
      <alignment horizontal="right" readingOrder="0" shrinkToFit="0" vertical="center" wrapText="0"/>
    </xf>
    <xf borderId="5" fillId="3" fontId="11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ont="1">
      <alignment horizontal="left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right" shrinkToFit="0" vertical="center" wrapText="0"/>
    </xf>
    <xf borderId="4" fillId="2" fontId="13" numFmtId="3" xfId="0" applyAlignment="1" applyBorder="1" applyFont="1" applyNumberFormat="1">
      <alignment horizontal="right" shrinkToFit="0" vertical="center" wrapText="0"/>
    </xf>
    <xf borderId="1" fillId="5" fontId="14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2.0"/>
    <col customWidth="1" min="3" max="3" width="20.0"/>
    <col customWidth="1" min="4" max="4" width="45.0"/>
    <col customWidth="1" min="5" max="5" width="7.0"/>
    <col customWidth="1" min="6" max="6" width="6.0"/>
    <col customWidth="1" min="7" max="8" width="18.0"/>
    <col customWidth="1" min="9" max="9" width="14.0"/>
    <col customWidth="1" min="10" max="11" width="35.0"/>
    <col customWidth="1" min="1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</row>
    <row r="3" ht="45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39.75" customHeight="1">
      <c r="A4" s="6">
        <v>1.0</v>
      </c>
      <c r="B4" s="7" t="s">
        <v>13</v>
      </c>
      <c r="C4" s="6" t="s">
        <v>14</v>
      </c>
      <c r="D4" s="8" t="s">
        <v>15</v>
      </c>
      <c r="E4" s="6">
        <v>1.0</v>
      </c>
      <c r="F4" s="6" t="s">
        <v>16</v>
      </c>
      <c r="G4" s="9">
        <v>750000.0</v>
      </c>
      <c r="H4" s="10">
        <f t="shared" ref="H4:H37" si="1">E4*G4</f>
        <v>750000</v>
      </c>
      <c r="I4" s="11" t="s">
        <v>17</v>
      </c>
      <c r="J4" s="8" t="s">
        <v>18</v>
      </c>
      <c r="K4" s="8" t="s">
        <v>19</v>
      </c>
    </row>
    <row r="5" ht="39.75" customHeight="1">
      <c r="A5" s="12">
        <v>2.0</v>
      </c>
      <c r="B5" s="13" t="s">
        <v>20</v>
      </c>
      <c r="C5" s="12" t="s">
        <v>14</v>
      </c>
      <c r="D5" s="14" t="s">
        <v>21</v>
      </c>
      <c r="E5" s="12">
        <v>1.0</v>
      </c>
      <c r="F5" s="12" t="s">
        <v>16</v>
      </c>
      <c r="G5" s="15">
        <v>300000.0</v>
      </c>
      <c r="H5" s="16">
        <f t="shared" si="1"/>
        <v>300000</v>
      </c>
      <c r="I5" s="17" t="s">
        <v>22</v>
      </c>
      <c r="J5" s="14" t="s">
        <v>23</v>
      </c>
      <c r="K5" s="14" t="s">
        <v>24</v>
      </c>
    </row>
    <row r="6" ht="39.75" customHeight="1">
      <c r="A6" s="6">
        <v>3.0</v>
      </c>
      <c r="B6" s="7" t="s">
        <v>25</v>
      </c>
      <c r="C6" s="6" t="s">
        <v>26</v>
      </c>
      <c r="D6" s="8" t="s">
        <v>27</v>
      </c>
      <c r="E6" s="6">
        <v>4.0</v>
      </c>
      <c r="F6" s="6" t="s">
        <v>16</v>
      </c>
      <c r="G6" s="9">
        <v>57045.0</v>
      </c>
      <c r="H6" s="10">
        <f t="shared" si="1"/>
        <v>228180</v>
      </c>
      <c r="I6" s="18" t="s">
        <v>22</v>
      </c>
      <c r="J6" s="8" t="s">
        <v>28</v>
      </c>
      <c r="K6" s="8" t="s">
        <v>29</v>
      </c>
    </row>
    <row r="7" ht="39.75" customHeight="1">
      <c r="A7" s="12">
        <v>4.0</v>
      </c>
      <c r="B7" s="13" t="s">
        <v>30</v>
      </c>
      <c r="C7" s="12" t="s">
        <v>26</v>
      </c>
      <c r="D7" s="14" t="s">
        <v>31</v>
      </c>
      <c r="E7" s="12">
        <v>1.0</v>
      </c>
      <c r="F7" s="12" t="s">
        <v>16</v>
      </c>
      <c r="G7" s="15">
        <v>15000.0</v>
      </c>
      <c r="H7" s="16">
        <f t="shared" si="1"/>
        <v>15000</v>
      </c>
      <c r="I7" s="13" t="s">
        <v>32</v>
      </c>
      <c r="J7" s="14" t="s">
        <v>33</v>
      </c>
      <c r="K7" s="14" t="s">
        <v>34</v>
      </c>
    </row>
    <row r="8" ht="39.75" customHeight="1">
      <c r="A8" s="6">
        <v>5.0</v>
      </c>
      <c r="B8" s="7" t="s">
        <v>35</v>
      </c>
      <c r="C8" s="6" t="s">
        <v>26</v>
      </c>
      <c r="D8" s="8" t="s">
        <v>36</v>
      </c>
      <c r="E8" s="6">
        <v>1.0</v>
      </c>
      <c r="F8" s="6" t="s">
        <v>16</v>
      </c>
      <c r="G8" s="9">
        <v>31018.0</v>
      </c>
      <c r="H8" s="10">
        <f t="shared" si="1"/>
        <v>31018</v>
      </c>
      <c r="I8" s="18" t="s">
        <v>22</v>
      </c>
      <c r="J8" s="8" t="s">
        <v>37</v>
      </c>
      <c r="K8" s="8" t="s">
        <v>38</v>
      </c>
    </row>
    <row r="9" ht="39.75" customHeight="1">
      <c r="A9" s="12">
        <v>6.0</v>
      </c>
      <c r="B9" s="13" t="s">
        <v>39</v>
      </c>
      <c r="C9" s="12" t="s">
        <v>26</v>
      </c>
      <c r="D9" s="14" t="s">
        <v>40</v>
      </c>
      <c r="E9" s="12">
        <v>1.0</v>
      </c>
      <c r="F9" s="12" t="s">
        <v>16</v>
      </c>
      <c r="G9" s="15">
        <v>15000.0</v>
      </c>
      <c r="H9" s="16">
        <f t="shared" si="1"/>
        <v>15000</v>
      </c>
      <c r="I9" s="13" t="s">
        <v>32</v>
      </c>
      <c r="J9" s="14" t="s">
        <v>41</v>
      </c>
      <c r="K9" s="14" t="s">
        <v>42</v>
      </c>
    </row>
    <row r="10" ht="39.75" customHeight="1">
      <c r="A10" s="6">
        <v>7.0</v>
      </c>
      <c r="B10" s="7" t="s">
        <v>43</v>
      </c>
      <c r="C10" s="6" t="s">
        <v>14</v>
      </c>
      <c r="D10" s="8" t="s">
        <v>44</v>
      </c>
      <c r="E10" s="6">
        <v>1.0</v>
      </c>
      <c r="F10" s="6" t="s">
        <v>16</v>
      </c>
      <c r="G10" s="9">
        <v>250000.0</v>
      </c>
      <c r="H10" s="10">
        <f t="shared" si="1"/>
        <v>250000</v>
      </c>
      <c r="I10" s="18" t="s">
        <v>22</v>
      </c>
      <c r="J10" s="8" t="s">
        <v>45</v>
      </c>
      <c r="K10" s="8" t="s">
        <v>46</v>
      </c>
    </row>
    <row r="11" ht="39.75" customHeight="1">
      <c r="A11" s="12">
        <v>8.0</v>
      </c>
      <c r="B11" s="13" t="s">
        <v>47</v>
      </c>
      <c r="C11" s="12" t="s">
        <v>14</v>
      </c>
      <c r="D11" s="14" t="s">
        <v>48</v>
      </c>
      <c r="E11" s="12">
        <v>1.0</v>
      </c>
      <c r="F11" s="12" t="s">
        <v>16</v>
      </c>
      <c r="G11" s="15">
        <v>180000.0</v>
      </c>
      <c r="H11" s="16">
        <f t="shared" si="1"/>
        <v>180000</v>
      </c>
      <c r="I11" s="13" t="s">
        <v>32</v>
      </c>
      <c r="J11" s="14" t="s">
        <v>49</v>
      </c>
      <c r="K11" s="14" t="s">
        <v>50</v>
      </c>
    </row>
    <row r="12" ht="39.75" customHeight="1">
      <c r="A12" s="6">
        <v>9.0</v>
      </c>
      <c r="B12" s="7" t="s">
        <v>51</v>
      </c>
      <c r="C12" s="6" t="s">
        <v>14</v>
      </c>
      <c r="D12" s="8" t="s">
        <v>52</v>
      </c>
      <c r="E12" s="6">
        <v>1.0</v>
      </c>
      <c r="F12" s="6" t="s">
        <v>16</v>
      </c>
      <c r="G12" s="9">
        <v>35000.0</v>
      </c>
      <c r="H12" s="10">
        <f t="shared" si="1"/>
        <v>35000</v>
      </c>
      <c r="I12" s="7" t="s">
        <v>32</v>
      </c>
      <c r="J12" s="8" t="s">
        <v>53</v>
      </c>
      <c r="K12" s="8" t="s">
        <v>54</v>
      </c>
    </row>
    <row r="13" ht="39.75" customHeight="1">
      <c r="A13" s="12">
        <v>10.0</v>
      </c>
      <c r="B13" s="13" t="s">
        <v>55</v>
      </c>
      <c r="C13" s="12" t="s">
        <v>14</v>
      </c>
      <c r="D13" s="14" t="s">
        <v>56</v>
      </c>
      <c r="E13" s="12">
        <v>1.0</v>
      </c>
      <c r="F13" s="12" t="s">
        <v>16</v>
      </c>
      <c r="G13" s="15">
        <v>45000.0</v>
      </c>
      <c r="H13" s="16">
        <f t="shared" si="1"/>
        <v>45000</v>
      </c>
      <c r="I13" s="13" t="s">
        <v>32</v>
      </c>
      <c r="J13" s="14" t="s">
        <v>57</v>
      </c>
      <c r="K13" s="14" t="s">
        <v>58</v>
      </c>
    </row>
    <row r="14" ht="39.75" customHeight="1">
      <c r="A14" s="6">
        <v>11.0</v>
      </c>
      <c r="B14" s="7" t="s">
        <v>59</v>
      </c>
      <c r="C14" s="6" t="s">
        <v>26</v>
      </c>
      <c r="D14" s="8" t="s">
        <v>60</v>
      </c>
      <c r="E14" s="6">
        <v>2.0</v>
      </c>
      <c r="F14" s="6" t="s">
        <v>16</v>
      </c>
      <c r="G14" s="9">
        <v>12000.0</v>
      </c>
      <c r="H14" s="10">
        <f t="shared" si="1"/>
        <v>24000</v>
      </c>
      <c r="I14" s="7" t="s">
        <v>32</v>
      </c>
      <c r="J14" s="8" t="s">
        <v>53</v>
      </c>
      <c r="K14" s="8" t="s">
        <v>61</v>
      </c>
    </row>
    <row r="15" ht="39.75" customHeight="1">
      <c r="A15" s="12">
        <v>12.0</v>
      </c>
      <c r="B15" s="13" t="s">
        <v>62</v>
      </c>
      <c r="C15" s="12" t="s">
        <v>26</v>
      </c>
      <c r="D15" s="14" t="s">
        <v>63</v>
      </c>
      <c r="E15" s="12">
        <v>1.0</v>
      </c>
      <c r="F15" s="12" t="s">
        <v>16</v>
      </c>
      <c r="G15" s="15">
        <v>25000.0</v>
      </c>
      <c r="H15" s="16">
        <f t="shared" si="1"/>
        <v>25000</v>
      </c>
      <c r="I15" s="13" t="s">
        <v>32</v>
      </c>
      <c r="J15" s="14" t="s">
        <v>53</v>
      </c>
      <c r="K15" s="14" t="s">
        <v>64</v>
      </c>
    </row>
    <row r="16" ht="39.75" customHeight="1">
      <c r="A16" s="6">
        <v>13.0</v>
      </c>
      <c r="B16" s="7" t="s">
        <v>65</v>
      </c>
      <c r="C16" s="6" t="s">
        <v>14</v>
      </c>
      <c r="D16" s="8" t="s">
        <v>66</v>
      </c>
      <c r="E16" s="6">
        <v>1.0</v>
      </c>
      <c r="F16" s="6" t="s">
        <v>16</v>
      </c>
      <c r="G16" s="9">
        <v>40000.0</v>
      </c>
      <c r="H16" s="10">
        <f t="shared" si="1"/>
        <v>40000</v>
      </c>
      <c r="I16" s="7" t="s">
        <v>32</v>
      </c>
      <c r="J16" s="8" t="s">
        <v>67</v>
      </c>
      <c r="K16" s="8" t="s">
        <v>68</v>
      </c>
    </row>
    <row r="17" ht="39.75" customHeight="1">
      <c r="A17" s="12">
        <v>14.0</v>
      </c>
      <c r="B17" s="13" t="s">
        <v>69</v>
      </c>
      <c r="C17" s="12" t="s">
        <v>70</v>
      </c>
      <c r="D17" s="14" t="s">
        <v>71</v>
      </c>
      <c r="E17" s="12">
        <v>1.0</v>
      </c>
      <c r="F17" s="12" t="s">
        <v>72</v>
      </c>
      <c r="G17" s="19">
        <v>400000.0</v>
      </c>
      <c r="H17" s="16">
        <f t="shared" si="1"/>
        <v>400000</v>
      </c>
      <c r="I17" s="20" t="s">
        <v>73</v>
      </c>
      <c r="J17" s="14" t="s">
        <v>74</v>
      </c>
      <c r="K17" s="14" t="s">
        <v>75</v>
      </c>
    </row>
    <row r="18" ht="39.75" customHeight="1">
      <c r="A18" s="6">
        <v>15.0</v>
      </c>
      <c r="B18" s="7" t="s">
        <v>76</v>
      </c>
      <c r="C18" s="6" t="s">
        <v>70</v>
      </c>
      <c r="D18" s="8" t="s">
        <v>77</v>
      </c>
      <c r="E18" s="6">
        <v>1.0</v>
      </c>
      <c r="F18" s="6" t="s">
        <v>16</v>
      </c>
      <c r="G18" s="21">
        <v>600000.0</v>
      </c>
      <c r="H18" s="10">
        <f t="shared" si="1"/>
        <v>600000</v>
      </c>
      <c r="I18" s="22" t="s">
        <v>73</v>
      </c>
      <c r="J18" s="8" t="s">
        <v>74</v>
      </c>
      <c r="K18" s="8" t="s">
        <v>78</v>
      </c>
    </row>
    <row r="19" ht="39.75" customHeight="1">
      <c r="A19" s="12">
        <v>16.0</v>
      </c>
      <c r="B19" s="13" t="s">
        <v>79</v>
      </c>
      <c r="C19" s="12" t="s">
        <v>70</v>
      </c>
      <c r="D19" s="14" t="s">
        <v>80</v>
      </c>
      <c r="E19" s="12">
        <v>1.0</v>
      </c>
      <c r="F19" s="12" t="s">
        <v>16</v>
      </c>
      <c r="G19" s="15">
        <v>200000.0</v>
      </c>
      <c r="H19" s="16">
        <f t="shared" si="1"/>
        <v>200000</v>
      </c>
      <c r="I19" s="13" t="s">
        <v>32</v>
      </c>
      <c r="J19" s="14" t="s">
        <v>81</v>
      </c>
      <c r="K19" s="14" t="s">
        <v>82</v>
      </c>
    </row>
    <row r="20" ht="39.75" customHeight="1">
      <c r="A20" s="6">
        <v>17.0</v>
      </c>
      <c r="B20" s="7" t="s">
        <v>83</v>
      </c>
      <c r="C20" s="6" t="s">
        <v>84</v>
      </c>
      <c r="D20" s="8" t="s">
        <v>85</v>
      </c>
      <c r="E20" s="23">
        <v>2.0</v>
      </c>
      <c r="F20" s="6" t="s">
        <v>86</v>
      </c>
      <c r="G20" s="9">
        <v>180000.0</v>
      </c>
      <c r="H20" s="10">
        <f t="shared" si="1"/>
        <v>360000</v>
      </c>
      <c r="I20" s="7" t="s">
        <v>32</v>
      </c>
      <c r="J20" s="8" t="s">
        <v>87</v>
      </c>
      <c r="K20" s="8" t="s">
        <v>88</v>
      </c>
    </row>
    <row r="21" ht="39.75" customHeight="1">
      <c r="A21" s="12">
        <v>18.0</v>
      </c>
      <c r="B21" s="13" t="s">
        <v>89</v>
      </c>
      <c r="C21" s="12" t="s">
        <v>84</v>
      </c>
      <c r="D21" s="14" t="s">
        <v>90</v>
      </c>
      <c r="E21" s="12">
        <v>1.0</v>
      </c>
      <c r="F21" s="12" t="s">
        <v>86</v>
      </c>
      <c r="G21" s="15">
        <v>80000.0</v>
      </c>
      <c r="H21" s="16">
        <f t="shared" si="1"/>
        <v>80000</v>
      </c>
      <c r="I21" s="13" t="s">
        <v>32</v>
      </c>
      <c r="J21" s="14" t="s">
        <v>91</v>
      </c>
      <c r="K21" s="14" t="s">
        <v>92</v>
      </c>
    </row>
    <row r="22" ht="39.75" customHeight="1">
      <c r="A22" s="6">
        <v>19.0</v>
      </c>
      <c r="B22" s="7" t="s">
        <v>93</v>
      </c>
      <c r="C22" s="6" t="s">
        <v>70</v>
      </c>
      <c r="D22" s="8" t="s">
        <v>94</v>
      </c>
      <c r="E22" s="6">
        <v>1.0</v>
      </c>
      <c r="F22" s="6" t="s">
        <v>86</v>
      </c>
      <c r="G22" s="9">
        <v>120000.0</v>
      </c>
      <c r="H22" s="10">
        <f t="shared" si="1"/>
        <v>120000</v>
      </c>
      <c r="I22" s="7" t="s">
        <v>32</v>
      </c>
      <c r="J22" s="8" t="s">
        <v>95</v>
      </c>
      <c r="K22" s="8" t="s">
        <v>96</v>
      </c>
    </row>
    <row r="23" ht="39.75" customHeight="1">
      <c r="A23" s="12">
        <v>20.0</v>
      </c>
      <c r="B23" s="13" t="s">
        <v>97</v>
      </c>
      <c r="C23" s="12" t="s">
        <v>70</v>
      </c>
      <c r="D23" s="14" t="s">
        <v>98</v>
      </c>
      <c r="E23" s="12">
        <v>1.0</v>
      </c>
      <c r="F23" s="12" t="s">
        <v>86</v>
      </c>
      <c r="G23" s="15">
        <v>80000.0</v>
      </c>
      <c r="H23" s="16">
        <f t="shared" si="1"/>
        <v>80000</v>
      </c>
      <c r="I23" s="13" t="s">
        <v>32</v>
      </c>
      <c r="J23" s="14" t="s">
        <v>99</v>
      </c>
      <c r="K23" s="14" t="s">
        <v>100</v>
      </c>
    </row>
    <row r="24" ht="39.75" customHeight="1">
      <c r="A24" s="6">
        <v>21.0</v>
      </c>
      <c r="B24" s="7" t="s">
        <v>101</v>
      </c>
      <c r="C24" s="6" t="s">
        <v>102</v>
      </c>
      <c r="D24" s="8" t="s">
        <v>103</v>
      </c>
      <c r="E24" s="6">
        <v>10.0</v>
      </c>
      <c r="F24" s="6" t="s">
        <v>104</v>
      </c>
      <c r="G24" s="9">
        <v>18000.0</v>
      </c>
      <c r="H24" s="10">
        <f t="shared" si="1"/>
        <v>180000</v>
      </c>
      <c r="I24" s="7" t="s">
        <v>32</v>
      </c>
      <c r="J24" s="8" t="s">
        <v>91</v>
      </c>
      <c r="K24" s="8" t="s">
        <v>105</v>
      </c>
    </row>
    <row r="25" ht="39.75" customHeight="1">
      <c r="A25" s="12">
        <v>22.0</v>
      </c>
      <c r="B25" s="13" t="s">
        <v>106</v>
      </c>
      <c r="C25" s="12" t="s">
        <v>102</v>
      </c>
      <c r="D25" s="14" t="s">
        <v>107</v>
      </c>
      <c r="E25" s="12">
        <v>4.0</v>
      </c>
      <c r="F25" s="12" t="s">
        <v>104</v>
      </c>
      <c r="G25" s="15">
        <v>15000.0</v>
      </c>
      <c r="H25" s="16">
        <f t="shared" si="1"/>
        <v>60000</v>
      </c>
      <c r="I25" s="13" t="s">
        <v>32</v>
      </c>
      <c r="J25" s="14" t="s">
        <v>91</v>
      </c>
      <c r="K25" s="14" t="s">
        <v>108</v>
      </c>
    </row>
    <row r="26" ht="39.75" customHeight="1">
      <c r="A26" s="6">
        <v>23.0</v>
      </c>
      <c r="B26" s="7" t="s">
        <v>109</v>
      </c>
      <c r="C26" s="6" t="s">
        <v>70</v>
      </c>
      <c r="D26" s="8" t="s">
        <v>110</v>
      </c>
      <c r="E26" s="6">
        <v>1.0</v>
      </c>
      <c r="F26" s="6" t="s">
        <v>111</v>
      </c>
      <c r="G26" s="9">
        <v>250000.0</v>
      </c>
      <c r="H26" s="10">
        <f t="shared" si="1"/>
        <v>250000</v>
      </c>
      <c r="I26" s="7" t="s">
        <v>32</v>
      </c>
      <c r="J26" s="8" t="s">
        <v>112</v>
      </c>
      <c r="K26" s="8" t="s">
        <v>113</v>
      </c>
    </row>
    <row r="27" ht="39.75" customHeight="1">
      <c r="A27" s="12">
        <v>24.0</v>
      </c>
      <c r="B27" s="13" t="s">
        <v>114</v>
      </c>
      <c r="C27" s="12" t="s">
        <v>102</v>
      </c>
      <c r="D27" s="14" t="s">
        <v>115</v>
      </c>
      <c r="E27" s="12">
        <v>1.0</v>
      </c>
      <c r="F27" s="12" t="s">
        <v>111</v>
      </c>
      <c r="G27" s="15">
        <v>80000.0</v>
      </c>
      <c r="H27" s="16">
        <f t="shared" si="1"/>
        <v>80000</v>
      </c>
      <c r="I27" s="13" t="s">
        <v>32</v>
      </c>
      <c r="J27" s="14" t="s">
        <v>91</v>
      </c>
      <c r="K27" s="14" t="s">
        <v>116</v>
      </c>
    </row>
    <row r="28" ht="39.75" customHeight="1">
      <c r="A28" s="6">
        <v>25.0</v>
      </c>
      <c r="B28" s="7" t="s">
        <v>117</v>
      </c>
      <c r="C28" s="6" t="s">
        <v>26</v>
      </c>
      <c r="D28" s="8" t="s">
        <v>118</v>
      </c>
      <c r="E28" s="6">
        <v>1.0</v>
      </c>
      <c r="F28" s="6" t="s">
        <v>16</v>
      </c>
      <c r="G28" s="9">
        <v>35000.0</v>
      </c>
      <c r="H28" s="10">
        <f t="shared" si="1"/>
        <v>35000</v>
      </c>
      <c r="I28" s="7" t="s">
        <v>32</v>
      </c>
      <c r="J28" s="8" t="s">
        <v>41</v>
      </c>
      <c r="K28" s="8" t="s">
        <v>119</v>
      </c>
    </row>
    <row r="29" ht="39.75" customHeight="1">
      <c r="A29" s="12">
        <v>26.0</v>
      </c>
      <c r="B29" s="13" t="s">
        <v>120</v>
      </c>
      <c r="C29" s="12" t="s">
        <v>102</v>
      </c>
      <c r="D29" s="14" t="s">
        <v>121</v>
      </c>
      <c r="E29" s="12">
        <v>3.0</v>
      </c>
      <c r="F29" s="12" t="s">
        <v>16</v>
      </c>
      <c r="G29" s="15">
        <v>35000.0</v>
      </c>
      <c r="H29" s="16">
        <f t="shared" si="1"/>
        <v>105000</v>
      </c>
      <c r="I29" s="13" t="s">
        <v>32</v>
      </c>
      <c r="J29" s="14" t="s">
        <v>122</v>
      </c>
      <c r="K29" s="14" t="s">
        <v>123</v>
      </c>
    </row>
    <row r="30" ht="39.75" customHeight="1">
      <c r="A30" s="6">
        <v>27.0</v>
      </c>
      <c r="B30" s="7" t="s">
        <v>124</v>
      </c>
      <c r="C30" s="6" t="s">
        <v>26</v>
      </c>
      <c r="D30" s="8" t="s">
        <v>125</v>
      </c>
      <c r="E30" s="6">
        <v>1.0</v>
      </c>
      <c r="F30" s="6" t="s">
        <v>16</v>
      </c>
      <c r="G30" s="9">
        <v>25000.0</v>
      </c>
      <c r="H30" s="10">
        <f t="shared" si="1"/>
        <v>25000</v>
      </c>
      <c r="I30" s="7" t="s">
        <v>32</v>
      </c>
      <c r="J30" s="8" t="s">
        <v>126</v>
      </c>
      <c r="K30" s="8" t="s">
        <v>127</v>
      </c>
    </row>
    <row r="31" ht="39.75" customHeight="1">
      <c r="A31" s="12">
        <v>28.0</v>
      </c>
      <c r="B31" s="13" t="s">
        <v>128</v>
      </c>
      <c r="C31" s="12" t="s">
        <v>26</v>
      </c>
      <c r="D31" s="14" t="s">
        <v>129</v>
      </c>
      <c r="E31" s="12">
        <v>2.0</v>
      </c>
      <c r="F31" s="12" t="s">
        <v>16</v>
      </c>
      <c r="G31" s="15">
        <v>15000.0</v>
      </c>
      <c r="H31" s="16">
        <f t="shared" si="1"/>
        <v>30000</v>
      </c>
      <c r="I31" s="13" t="s">
        <v>32</v>
      </c>
      <c r="J31" s="14" t="s">
        <v>53</v>
      </c>
      <c r="K31" s="14" t="s">
        <v>130</v>
      </c>
    </row>
    <row r="32" ht="39.75" customHeight="1">
      <c r="A32" s="6">
        <v>29.0</v>
      </c>
      <c r="B32" s="7" t="s">
        <v>131</v>
      </c>
      <c r="C32" s="6" t="s">
        <v>26</v>
      </c>
      <c r="D32" s="8" t="s">
        <v>132</v>
      </c>
      <c r="E32" s="6">
        <v>3.0</v>
      </c>
      <c r="F32" s="6" t="s">
        <v>16</v>
      </c>
      <c r="G32" s="9">
        <v>12000.0</v>
      </c>
      <c r="H32" s="10">
        <f t="shared" si="1"/>
        <v>36000</v>
      </c>
      <c r="I32" s="7" t="s">
        <v>32</v>
      </c>
      <c r="J32" s="8" t="s">
        <v>126</v>
      </c>
      <c r="K32" s="8" t="s">
        <v>133</v>
      </c>
    </row>
    <row r="33" ht="39.75" customHeight="1">
      <c r="A33" s="12">
        <v>30.0</v>
      </c>
      <c r="B33" s="13" t="s">
        <v>134</v>
      </c>
      <c r="C33" s="12" t="s">
        <v>26</v>
      </c>
      <c r="D33" s="14" t="s">
        <v>135</v>
      </c>
      <c r="E33" s="12">
        <v>1.0</v>
      </c>
      <c r="F33" s="12" t="s">
        <v>16</v>
      </c>
      <c r="G33" s="15">
        <v>5000.0</v>
      </c>
      <c r="H33" s="16">
        <f t="shared" si="1"/>
        <v>5000</v>
      </c>
      <c r="I33" s="13" t="s">
        <v>32</v>
      </c>
      <c r="J33" s="14" t="s">
        <v>41</v>
      </c>
      <c r="K33" s="14" t="s">
        <v>136</v>
      </c>
    </row>
    <row r="34" ht="39.75" customHeight="1">
      <c r="A34" s="6">
        <v>31.0</v>
      </c>
      <c r="B34" s="7" t="s">
        <v>137</v>
      </c>
      <c r="C34" s="6" t="s">
        <v>138</v>
      </c>
      <c r="D34" s="8" t="s">
        <v>139</v>
      </c>
      <c r="E34" s="6">
        <v>1.0</v>
      </c>
      <c r="F34" s="6" t="s">
        <v>140</v>
      </c>
      <c r="G34" s="9">
        <v>80000.0</v>
      </c>
      <c r="H34" s="10">
        <f t="shared" si="1"/>
        <v>80000</v>
      </c>
      <c r="I34" s="7" t="s">
        <v>32</v>
      </c>
      <c r="J34" s="8" t="s">
        <v>91</v>
      </c>
      <c r="K34" s="8" t="s">
        <v>141</v>
      </c>
    </row>
    <row r="35" ht="39.75" customHeight="1">
      <c r="A35" s="12">
        <v>32.0</v>
      </c>
      <c r="B35" s="13" t="s">
        <v>142</v>
      </c>
      <c r="C35" s="12" t="s">
        <v>143</v>
      </c>
      <c r="D35" s="14" t="s">
        <v>144</v>
      </c>
      <c r="E35" s="12">
        <v>1.0</v>
      </c>
      <c r="F35" s="12" t="s">
        <v>140</v>
      </c>
      <c r="G35" s="15">
        <v>40000.0</v>
      </c>
      <c r="H35" s="16">
        <f t="shared" si="1"/>
        <v>40000</v>
      </c>
      <c r="I35" s="13" t="s">
        <v>32</v>
      </c>
      <c r="J35" s="14" t="s">
        <v>145</v>
      </c>
      <c r="K35" s="14" t="s">
        <v>146</v>
      </c>
    </row>
    <row r="36" ht="39.75" customHeight="1">
      <c r="A36" s="6">
        <v>33.0</v>
      </c>
      <c r="B36" s="7" t="s">
        <v>147</v>
      </c>
      <c r="C36" s="6" t="s">
        <v>138</v>
      </c>
      <c r="D36" s="8" t="s">
        <v>148</v>
      </c>
      <c r="E36" s="6">
        <v>1.0</v>
      </c>
      <c r="F36" s="6" t="s">
        <v>149</v>
      </c>
      <c r="G36" s="9">
        <v>700000.0</v>
      </c>
      <c r="H36" s="10">
        <f t="shared" si="1"/>
        <v>700000</v>
      </c>
      <c r="I36" s="24" t="s">
        <v>150</v>
      </c>
      <c r="J36" s="8" t="s">
        <v>151</v>
      </c>
      <c r="K36" s="8" t="s">
        <v>152</v>
      </c>
    </row>
    <row r="37" ht="39.75" customHeight="1">
      <c r="A37" s="12">
        <v>34.0</v>
      </c>
      <c r="B37" s="13" t="s">
        <v>153</v>
      </c>
      <c r="C37" s="12" t="s">
        <v>138</v>
      </c>
      <c r="D37" s="14" t="s">
        <v>154</v>
      </c>
      <c r="E37" s="12">
        <v>1.0</v>
      </c>
      <c r="F37" s="12" t="s">
        <v>155</v>
      </c>
      <c r="G37" s="15">
        <v>618000.0</v>
      </c>
      <c r="H37" s="16">
        <f t="shared" si="1"/>
        <v>618000</v>
      </c>
      <c r="I37" s="25" t="s">
        <v>156</v>
      </c>
      <c r="J37" s="14" t="s">
        <v>157</v>
      </c>
      <c r="K37" s="14" t="s">
        <v>158</v>
      </c>
    </row>
    <row r="38" ht="27.75" customHeight="1">
      <c r="A38" s="26" t="s">
        <v>159</v>
      </c>
      <c r="B38" s="2"/>
      <c r="C38" s="2"/>
      <c r="D38" s="2"/>
      <c r="E38" s="2"/>
      <c r="F38" s="2"/>
      <c r="G38" s="3"/>
      <c r="H38" s="27">
        <f>SUM(H4:H37)</f>
        <v>6022198</v>
      </c>
      <c r="I38" s="28" t="s">
        <v>160</v>
      </c>
      <c r="J38" s="2"/>
      <c r="K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38:G38"/>
    <mergeCell ref="I38:K3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2026-04-23T12:58:40Z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